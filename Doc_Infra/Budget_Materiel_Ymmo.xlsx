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matéri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<sst xmlns="http://schemas.openxmlformats.org/spreadsheetml/2006/main" count="57" uniqueCount="48">
  <si>
    <t xml:space="preserve">Catégorie</t>
  </si>
  <si>
    <t xml:space="preserve">Désignation</t>
  </si>
  <si>
    <t xml:space="preserve">Qté</t>
  </si>
  <si>
    <t xml:space="preserve">PU HT (€)</t>
  </si>
  <si>
    <t xml:space="preserve">Total HT (€)</t>
  </si>
  <si>
    <t xml:space="preserve">Justification</t>
  </si>
  <si>
    <t xml:space="preserve">Serveurs siège</t>
  </si>
  <si>
    <t xml:space="preserve">Serveur rack Dell PowerEdge R450 (Xeon, 64 Go, RAID)</t>
  </si>
  <si>
    <t xml:space="preserve">AD/DNS/DHCP/fichiers + Web/BDD</t>
  </si>
  <si>
    <t xml:space="preserve">Onduleur APC Smart-UPS 1500VA</t>
  </si>
  <si>
    <t xml:space="preserve">Protection électrique serveurs + baie</t>
  </si>
  <si>
    <t xml:space="preserve">NAS Synology RS822+ avec 4x4 To (sauvegardes)</t>
  </si>
  <si>
    <t xml:space="preserve">Cible de sauvegarde locale</t>
  </si>
  <si>
    <t xml:space="preserve">Réseau &amp; sécurité</t>
  </si>
  <si>
    <t xml:space="preserve">Pare-feu Netgate 4200 (pfSense+) siège</t>
  </si>
  <si>
    <t xml:space="preserve">Terminaison des 12 tunnels IPsec</t>
  </si>
  <si>
    <t xml:space="preserve">Pare-feu Netgate 2100 (pfSense+) agence</t>
  </si>
  <si>
    <t xml:space="preserve">1 par agence</t>
  </si>
  <si>
    <t xml:space="preserve">Switch manageable 48 ports PoE (siège)</t>
  </si>
  <si>
    <t xml:space="preserve">30 postes + serveurs + imprimante</t>
  </si>
  <si>
    <t xml:space="preserve">Switch 8 ports (agences)</t>
  </si>
  <si>
    <t xml:space="preserve">5 postes + imprimante par agence</t>
  </si>
  <si>
    <t xml:space="preserve">Câblage / baie / divers</t>
  </si>
  <si>
    <t xml:space="preserve">Brassage siège, petites fournitures</t>
  </si>
  <si>
    <t xml:space="preserve">Postes de travail</t>
  </si>
  <si>
    <t xml:space="preserve">PC fixe pro + écran 24" (siège)</t>
  </si>
  <si>
    <t xml:space="preserve">5 pôles du siège</t>
  </si>
  <si>
    <t xml:space="preserve">PC portable pro (agences)</t>
  </si>
  <si>
    <t xml:space="preserve">5 commerciaux x 12 agences</t>
  </si>
  <si>
    <t xml:space="preserve">Impression</t>
  </si>
  <si>
    <t xml:space="preserve">Multifonction laser réseau</t>
  </si>
  <si>
    <t xml:space="preserve">Siège + 12 agences</t>
  </si>
  <si>
    <t xml:space="preserve">Licences</t>
  </si>
  <si>
    <t xml:space="preserve">Windows Server 2022 Standard (16 cœurs)</t>
  </si>
  <si>
    <t xml:space="preserve">2 serveurs siège</t>
  </si>
  <si>
    <t xml:space="preserve">CAL utilisateur Windows Server</t>
  </si>
  <si>
    <t xml:space="preserve">30 siège + 60 agences</t>
  </si>
  <si>
    <t xml:space="preserve">Divers (antivirus pro, outils)</t>
  </si>
  <si>
    <t xml:space="preserve">Forfait annuel an 1</t>
  </si>
  <si>
    <t xml:space="preserve">TOTAL INVESTISSEMENT HT</t>
  </si>
  <si>
    <t xml:space="preserve">Coûts récurrents (mensuels)</t>
  </si>
  <si>
    <t xml:space="preserve">Fibre pro siège</t>
  </si>
  <si>
    <t xml:space="preserve">Accès opérateur dédié</t>
  </si>
  <si>
    <t xml:space="preserve">Fibre/SDSL agences</t>
  </si>
  <si>
    <t xml:space="preserve">1 lien par agence</t>
  </si>
  <si>
    <t xml:space="preserve">Cloud Azure (cf. doc INFRA §8)</t>
  </si>
  <si>
    <t xml:space="preserve">App Service, PostgreSQL, VPN GW, Backup</t>
  </si>
  <si>
    <t xml:space="preserve">TOTAL MENSUEL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</si>
</sst>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n">
        <v>2</v>
      </c>
      <c r="D2" s="4" t="n">
        <v>4200</v>
      </c>
      <c r="E2" s="5" t="n">
        <f aca="false">C2*D2</f>
        <v>8400</v>
      </c>
      <c r="F2" s="2" t="s">
        <v>8</v>
      </c>
    </row>
    <row r="3" customFormat="false" ht="15" hidden="false" customHeight="false" outlineLevel="0" collapsed="false">
      <c r="A3" s="2" t="s">
        <v>6</v>
      </c>
      <c r="B3" s="2" t="s">
        <v>9</v>
      </c>
      <c r="C3" s="3" t="n">
        <v>2</v>
      </c>
      <c r="D3" s="4" t="n">
        <v>800</v>
      </c>
      <c r="E3" s="5" t="n">
        <f aca="false">C3*D3</f>
        <v>1600</v>
      </c>
      <c r="F3" s="2" t="s">
        <v>10</v>
      </c>
    </row>
    <row r="4" customFormat="false" ht="15" hidden="false" customHeight="false" outlineLevel="0" collapsed="false">
      <c r="A4" s="2" t="s">
        <v>6</v>
      </c>
      <c r="B4" s="2" t="s">
        <v>11</v>
      </c>
      <c r="C4" s="3" t="n">
        <v>1</v>
      </c>
      <c r="D4" s="4" t="n">
        <v>2400</v>
      </c>
      <c r="E4" s="5" t="n">
        <f aca="false">C4*D4</f>
        <v>2400</v>
      </c>
      <c r="F4" s="2" t="s">
        <v>12</v>
      </c>
    </row>
    <row r="5" customFormat="false" ht="15" hidden="false" customHeight="false" outlineLevel="0" collapsed="false">
      <c r="A5" s="2" t="s">
        <v>13</v>
      </c>
      <c r="B5" s="2" t="s">
        <v>14</v>
      </c>
      <c r="C5" s="3" t="n">
        <v>1</v>
      </c>
      <c r="D5" s="4" t="n">
        <v>750</v>
      </c>
      <c r="E5" s="5" t="n">
        <f aca="false">C5*D5</f>
        <v>750</v>
      </c>
      <c r="F5" s="2" t="s">
        <v>15</v>
      </c>
    </row>
    <row r="6" customFormat="false" ht="15" hidden="false" customHeight="false" outlineLevel="0" collapsed="false">
      <c r="A6" s="2" t="s">
        <v>13</v>
      </c>
      <c r="B6" s="2" t="s">
        <v>16</v>
      </c>
      <c r="C6" s="3" t="n">
        <v>12</v>
      </c>
      <c r="D6" s="4" t="n">
        <v>500</v>
      </c>
      <c r="E6" s="5" t="n">
        <f aca="false">C6*D6</f>
        <v>6000</v>
      </c>
      <c r="F6" s="2" t="s">
        <v>17</v>
      </c>
    </row>
    <row r="7" customFormat="false" ht="15" hidden="false" customHeight="false" outlineLevel="0" collapsed="false">
      <c r="A7" s="2" t="s">
        <v>13</v>
      </c>
      <c r="B7" s="2" t="s">
        <v>18</v>
      </c>
      <c r="C7" s="3" t="n">
        <v>1</v>
      </c>
      <c r="D7" s="4" t="n">
        <v>1200</v>
      </c>
      <c r="E7" s="5" t="n">
        <f aca="false">C7*D7</f>
        <v>1200</v>
      </c>
      <c r="F7" s="2" t="s">
        <v>19</v>
      </c>
    </row>
    <row r="8" customFormat="false" ht="15" hidden="false" customHeight="false" outlineLevel="0" collapsed="false">
      <c r="A8" s="2" t="s">
        <v>13</v>
      </c>
      <c r="B8" s="2" t="s">
        <v>20</v>
      </c>
      <c r="C8" s="3" t="n">
        <v>12</v>
      </c>
      <c r="D8" s="4" t="n">
        <v>150</v>
      </c>
      <c r="E8" s="5" t="n">
        <f aca="false">C8*D8</f>
        <v>1800</v>
      </c>
      <c r="F8" s="2" t="s">
        <v>21</v>
      </c>
    </row>
    <row r="9" customFormat="false" ht="15" hidden="false" customHeight="false" outlineLevel="0" collapsed="false">
      <c r="A9" s="2" t="s">
        <v>13</v>
      </c>
      <c r="B9" s="2" t="s">
        <v>22</v>
      </c>
      <c r="C9" s="3" t="n">
        <v>1</v>
      </c>
      <c r="D9" s="4" t="n">
        <v>2200</v>
      </c>
      <c r="E9" s="5" t="n">
        <f aca="false">C9*D9</f>
        <v>2200</v>
      </c>
      <c r="F9" s="2" t="s">
        <v>23</v>
      </c>
    </row>
    <row r="10" customFormat="false" ht="15" hidden="false" customHeight="false" outlineLevel="0" collapsed="false">
      <c r="A10" s="2" t="s">
        <v>24</v>
      </c>
      <c r="B10" s="2" t="s">
        <v>25</v>
      </c>
      <c r="C10" s="3" t="n">
        <v>30</v>
      </c>
      <c r="D10" s="4" t="n">
        <v>700</v>
      </c>
      <c r="E10" s="5" t="n">
        <f aca="false">C10*D10</f>
        <v>21000</v>
      </c>
      <c r="F10" s="2" t="s">
        <v>26</v>
      </c>
    </row>
    <row r="11" customFormat="false" ht="15" hidden="false" customHeight="false" outlineLevel="0" collapsed="false">
      <c r="A11" s="2" t="s">
        <v>24</v>
      </c>
      <c r="B11" s="2" t="s">
        <v>27</v>
      </c>
      <c r="C11" s="3" t="n">
        <v>60</v>
      </c>
      <c r="D11" s="4" t="n">
        <v>700</v>
      </c>
      <c r="E11" s="5" t="n">
        <f aca="false">C11*D11</f>
        <v>42000</v>
      </c>
      <c r="F11" s="2" t="s">
        <v>28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3" t="n">
        <v>13</v>
      </c>
      <c r="D12" s="4" t="n">
        <v>500</v>
      </c>
      <c r="E12" s="5" t="n">
        <f aca="false">C12*D12</f>
        <v>6500</v>
      </c>
      <c r="F12" s="2" t="s">
        <v>31</v>
      </c>
    </row>
    <row r="13" customFormat="false" ht="15" hidden="false" customHeight="false" outlineLevel="0" collapsed="false">
      <c r="A13" s="2" t="s">
        <v>32</v>
      </c>
      <c r="B13" s="2" t="s">
        <v>33</v>
      </c>
      <c r="C13" s="3" t="n">
        <v>2</v>
      </c>
      <c r="D13" s="4" t="n">
        <v>1100</v>
      </c>
      <c r="E13" s="5" t="n">
        <f aca="false">C13*D13</f>
        <v>2200</v>
      </c>
      <c r="F13" s="2" t="s">
        <v>34</v>
      </c>
    </row>
    <row r="14" customFormat="false" ht="15" hidden="false" customHeight="false" outlineLevel="0" collapsed="false">
      <c r="A14" s="2" t="s">
        <v>32</v>
      </c>
      <c r="B14" s="2" t="s">
        <v>35</v>
      </c>
      <c r="C14" s="3" t="n">
        <v>90</v>
      </c>
      <c r="D14" s="4" t="n">
        <v>38</v>
      </c>
      <c r="E14" s="5" t="n">
        <f aca="false">C14*D14</f>
        <v>3420</v>
      </c>
      <c r="F14" s="2" t="s">
        <v>36</v>
      </c>
    </row>
    <row r="15" customFormat="false" ht="15" hidden="false" customHeight="false" outlineLevel="0" collapsed="false">
      <c r="A15" s="2" t="s">
        <v>32</v>
      </c>
      <c r="B15" s="2" t="s">
        <v>37</v>
      </c>
      <c r="C15" s="3" t="n">
        <v>1</v>
      </c>
      <c r="D15" s="4" t="n">
        <v>530</v>
      </c>
      <c r="E15" s="5" t="n">
        <f aca="false">C15*D15</f>
        <v>530</v>
      </c>
      <c r="F15" s="2" t="s">
        <v>38</v>
      </c>
    </row>
    <row r="16" customFormat="false" ht="15" hidden="false" customHeight="false" outlineLevel="0" collapsed="false">
      <c r="A16" s="6"/>
      <c r="B16" s="7" t="s">
        <v>39</v>
      </c>
      <c r="C16" s="6"/>
      <c r="D16" s="6"/>
      <c r="E16" s="8" t="n">
        <f aca="false">SUM(E2:E15)</f>
        <v>100000</v>
      </c>
      <c r="F16" s="6"/>
    </row>
    <row r="18" customFormat="false" ht="15" hidden="false" customHeight="false" outlineLevel="0" collapsed="false">
      <c r="A18" s="9" t="s">
        <v>40</v>
      </c>
    </row>
    <row r="19" customFormat="false" ht="15" hidden="false" customHeight="false" outlineLevel="0" collapsed="false">
      <c r="A19" s="10"/>
      <c r="B19" s="2" t="s">
        <v>41</v>
      </c>
      <c r="C19" s="3" t="n">
        <v>1</v>
      </c>
      <c r="D19" s="4" t="n">
        <v>120</v>
      </c>
      <c r="E19" s="5" t="n">
        <f aca="false">C19*D19</f>
        <v>120</v>
      </c>
      <c r="F19" s="2" t="s">
        <v>42</v>
      </c>
    </row>
    <row r="20" customFormat="false" ht="15" hidden="false" customHeight="false" outlineLevel="0" collapsed="false">
      <c r="A20" s="10"/>
      <c r="B20" s="2" t="s">
        <v>43</v>
      </c>
      <c r="C20" s="3" t="n">
        <v>12</v>
      </c>
      <c r="D20" s="4" t="n">
        <v>60</v>
      </c>
      <c r="E20" s="5" t="n">
        <f aca="false">C20*D20</f>
        <v>720</v>
      </c>
      <c r="F20" s="2" t="s">
        <v>44</v>
      </c>
    </row>
    <row r="21" customFormat="false" ht="15" hidden="false" customHeight="false" outlineLevel="0" collapsed="false">
      <c r="A21" s="10"/>
      <c r="B21" s="2" t="s">
        <v>45</v>
      </c>
      <c r="C21" s="3" t="n">
        <v>1</v>
      </c>
      <c r="D21" s="4" t="n">
        <v>305</v>
      </c>
      <c r="E21" s="5" t="n">
        <f aca="false">C21*D21</f>
        <v>305</v>
      </c>
      <c r="F21" s="2" t="s">
        <v>46</v>
      </c>
    </row>
    <row r="22" customFormat="false" ht="15" hidden="false" customHeight="false" outlineLevel="0" collapsed="false">
      <c r="A22" s="6"/>
      <c r="B22" s="7" t="s">
        <v>47</v>
      </c>
      <c r="C22" s="6"/>
      <c r="D22" s="6"/>
      <c r="E22" s="8" t="n">
        <f aca="false">SUM(E19:E21)</f>
        <v>1145</v>
      </c>
      <c r="F22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2026-06-11T23:55:16Z</dcterms:created>
  <dc:creator>openpyxl</dc:creator>
  <dc:description/>
  <dc:language>en-US</dc:language>
  <cp:lastModifiedBy/>
  <dcterms:modified xsi:type="dcterms:W3CDTF">2026-06-11T23:55:16Z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